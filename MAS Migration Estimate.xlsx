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nmax.sharepoint.com/sites/documents/Shared Documents/Clients Builds/CarletonU/"/>
    </mc:Choice>
  </mc:AlternateContent>
  <xr:revisionPtr revIDLastSave="0" documentId="8_{8DFDAAFE-2FFC-473C-9A25-E393514E074D}" xr6:coauthVersionLast="47" xr6:coauthVersionMax="47" xr10:uidLastSave="{00000000-0000-0000-0000-000000000000}"/>
  <bookViews>
    <workbookView xWindow="18870" yWindow="-16440" windowWidth="29040" windowHeight="15720" xr2:uid="{AE70593B-0C98-45D0-A71A-5713AEBF5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6" i="1" s="1"/>
  <c r="F7" i="1" s="1"/>
  <c r="E4" i="1"/>
  <c r="E6" i="1"/>
  <c r="E7" i="1" s="1"/>
  <c r="D6" i="1"/>
  <c r="D7" i="1" s="1"/>
  <c r="C6" i="1"/>
  <c r="C7" i="1" s="1"/>
</calcChain>
</file>

<file path=xl/sharedStrings.xml><?xml version="1.0" encoding="utf-8"?>
<sst xmlns="http://schemas.openxmlformats.org/spreadsheetml/2006/main" count="16" uniqueCount="14">
  <si>
    <t>Service</t>
  </si>
  <si>
    <t>Details</t>
  </si>
  <si>
    <t>VPC: File share storage</t>
  </si>
  <si>
    <t>OpenShift cluster</t>
  </si>
  <si>
    <t>VPC: Virtual Server</t>
  </si>
  <si>
    <t>Location: ca-tor-2
Encryption: Provider managed</t>
  </si>
  <si>
    <t>3 worker nodes
cx2.16x32 - 16 vCPUs 32GB RAM
Virtual - shared
x86-64
RHEL 8
Secondary storage: 300gb.5iops-tier</t>
  </si>
  <si>
    <t>Location: ca-tor-2
Profile: bx2-4x16
• 4 vCPUs
• 16 GiB RAM
• 8 Gbps
Image:
• Windows Server 2022 Standard Edition (amd64)
Boot volume:
• 250 GB, 3 IOPS/GB, 3000 IOPS Max</t>
  </si>
  <si>
    <t>DB2</t>
  </si>
  <si>
    <t>MSSQL</t>
  </si>
  <si>
    <t>Total (Mois)</t>
  </si>
  <si>
    <t>Total (ans)</t>
  </si>
  <si>
    <t>Cluster prix list</t>
  </si>
  <si>
    <t>Cluster rabais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</si>
</sst>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  <xf numFmtId="44" fontId="0" fillId="0" borderId="0" xfId="1" applyFont="1"/>
    <xf numFmtId="0" fontId="0" fillId="0" borderId="0" xfId="0" applyAlignment="1">
      <alignment horizontal="center"/>
    </xf>
    <xf numFmtId="9" fontId="0" fillId="2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B113-A4BD-4F8F-BE07-C01BBCF6DAD6}">
  <dimension ref="A1:G7"/>
  <sheetViews>
    <sheetView tabSelected="1" workbookViewId="0">
      <selection activeCell="G2" sqref="G2"/>
    </sheetView>
  </sheetViews>
  <sheetFormatPr defaultRowHeight="14.5" x14ac:dyDescent="0.35"/>
  <cols>
    <col min="1" max="1" width="20.453125" bestFit="1" customWidth="1"/>
    <col min="2" max="2" width="42.54296875" bestFit="1" customWidth="1"/>
    <col min="3" max="6" width="11.1796875" bestFit="1" customWidth="1"/>
    <col min="7" max="7" width="6.36328125" bestFit="1" customWidth="1"/>
  </cols>
  <sheetData>
    <row r="1" spans="1:7" x14ac:dyDescent="0.35">
      <c r="C1" s="4" t="s">
        <v>12</v>
      </c>
      <c r="D1" s="4"/>
      <c r="E1" s="4" t="s">
        <v>13</v>
      </c>
      <c r="F1" s="4"/>
      <c r="G1" s="5">
        <v>0.2</v>
      </c>
    </row>
    <row r="2" spans="1:7" x14ac:dyDescent="0.35">
      <c r="A2" t="s">
        <v>0</v>
      </c>
      <c r="B2" t="s">
        <v>1</v>
      </c>
      <c r="C2" t="s">
        <v>8</v>
      </c>
      <c r="D2" t="s">
        <v>9</v>
      </c>
      <c r="E2" t="s">
        <v>8</v>
      </c>
      <c r="F2" t="s">
        <v>9</v>
      </c>
    </row>
    <row r="3" spans="1:7" ht="29" x14ac:dyDescent="0.35">
      <c r="A3" s="1" t="s">
        <v>2</v>
      </c>
      <c r="B3" s="2" t="s">
        <v>5</v>
      </c>
      <c r="C3" s="3">
        <v>190.86</v>
      </c>
      <c r="D3" s="3">
        <v>190.86</v>
      </c>
      <c r="E3" s="3">
        <v>190.86</v>
      </c>
      <c r="F3" s="3">
        <v>190.86</v>
      </c>
    </row>
    <row r="4" spans="1:7" ht="87" x14ac:dyDescent="0.35">
      <c r="A4" t="s">
        <v>3</v>
      </c>
      <c r="B4" s="2" t="s">
        <v>6</v>
      </c>
      <c r="C4" s="3">
        <v>2889.75</v>
      </c>
      <c r="D4" s="3">
        <v>2889.75</v>
      </c>
      <c r="E4" s="3">
        <f>C4-($G1*C4)</f>
        <v>2311.8000000000002</v>
      </c>
      <c r="F4" s="3">
        <f>D4-($G1*D4)</f>
        <v>2311.8000000000002</v>
      </c>
    </row>
    <row r="5" spans="1:7" ht="130.5" x14ac:dyDescent="0.35">
      <c r="A5" t="s">
        <v>4</v>
      </c>
      <c r="B5" s="2" t="s">
        <v>7</v>
      </c>
      <c r="C5" s="3">
        <v>214.6</v>
      </c>
      <c r="D5" s="3">
        <v>427.19</v>
      </c>
      <c r="E5" s="3">
        <v>214.6</v>
      </c>
      <c r="F5" s="3">
        <v>427.19</v>
      </c>
    </row>
    <row r="6" spans="1:7" x14ac:dyDescent="0.35">
      <c r="B6" s="2" t="s">
        <v>10</v>
      </c>
      <c r="C6" s="3">
        <f>SUM(C3:C5)</f>
        <v>3295.21</v>
      </c>
      <c r="D6" s="3">
        <f>SUM(D3:D5)</f>
        <v>3507.8</v>
      </c>
      <c r="E6" s="3">
        <f>SUM(E3:E5)</f>
        <v>2717.26</v>
      </c>
      <c r="F6" s="3">
        <f>SUM(F3:F5)</f>
        <v>2929.8500000000004</v>
      </c>
    </row>
    <row r="7" spans="1:7" x14ac:dyDescent="0.35">
      <c r="B7" s="2" t="s">
        <v>11</v>
      </c>
      <c r="C7" s="3">
        <f>C6*12</f>
        <v>39542.520000000004</v>
      </c>
      <c r="D7" s="3">
        <f>D6*12</f>
        <v>42093.600000000006</v>
      </c>
      <c r="E7" s="3">
        <f>E6*12</f>
        <v>32607.120000000003</v>
      </c>
      <c r="F7" s="3">
        <f>F6*12</f>
        <v>35158.200000000004</v>
      </c>
    </row>
  </sheetData>
  <mergeCells count="2"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28A8D1CB2A994EA8B730D5CE791EAB" ma:contentTypeVersion="18" ma:contentTypeDescription="Create a new document." ma:contentTypeScope="" ma:versionID="66ae7acea732797fa2146c83caaa0be2">
  <xsd:schema xmlns:xsd="http://www.w3.org/2001/XMLSchema" xmlns:xs="http://www.w3.org/2001/XMLSchema" xmlns:p="http://schemas.microsoft.com/office/2006/metadata/properties" xmlns:ns2="b54210ff-39fa-4ec1-a4eb-9a484ee5fc72" xmlns:ns3="94b02761-8b83-4d07-addf-6cb4e2db5308" targetNamespace="http://schemas.microsoft.com/office/2006/metadata/properties" ma:root="true" ma:fieldsID="69a96ce2fb5dd7612009ddde8fde0579" ns2:_="" ns3:_="">
    <xsd:import namespace="b54210ff-39fa-4ec1-a4eb-9a484ee5fc72"/>
    <xsd:import namespace="94b02761-8b83-4d07-addf-6cb4e2db53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210ff-39fa-4ec1-a4eb-9a484ee5f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f974842-fe46-496f-8d57-a686b1cf06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02761-8b83-4d07-addf-6cb4e2db530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c2a22c-abdd-482f-b98f-5fa0c58702c5}" ma:internalName="TaxCatchAll" ma:showField="CatchAllData" ma:web="94b02761-8b83-4d07-addf-6cb4e2db53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4210ff-39fa-4ec1-a4eb-9a484ee5fc72">
      <Terms xmlns="http://schemas.microsoft.com/office/infopath/2007/PartnerControls"/>
    </lcf76f155ced4ddcb4097134ff3c332f>
    <TaxCatchAll xmlns="94b02761-8b83-4d07-addf-6cb4e2db5308" xsi:nil="true"/>
  </documentManagement>
</p:properties>
</file>

<file path=customXml/itemProps1.xml><?xml version="1.0" encoding="utf-8"?>
<ds:datastoreItem xmlns:ds="http://schemas.openxmlformats.org/officeDocument/2006/customXml" ds:itemID="{AAD8CCAF-4924-4158-97B4-E97CAF864B18}"/>
</file>

<file path=customXml/itemProps2.xml><?xml version="1.0" encoding="utf-8"?>
<ds:datastoreItem xmlns:ds="http://schemas.openxmlformats.org/officeDocument/2006/customXml" ds:itemID="{EFF45488-B9E6-494D-8477-E1FB5618B0A0}"/>
</file>

<file path=customXml/itemProps3.xml><?xml version="1.0" encoding="utf-8"?>
<ds:datastoreItem xmlns:ds="http://schemas.openxmlformats.org/officeDocument/2006/customXml" ds:itemID="{07F2C05D-FF8E-49C6-BB79-C261DC83C0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Gilles-Daniel Adams</dc:creator>
  <cp:lastModifiedBy>Gilles-Daniel Adams</cp:lastModifiedBy>
  <dcterms:created xsi:type="dcterms:W3CDTF">2025-01-27T22:25:12Z</dcterms:created>
  <dcterms:modified xsi:type="dcterms:W3CDTF">2025-01-27T22:35:20Z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0x0101000028A8D1CB2A994EA8B730D5CE791EAB</vt:lpwstr>
  </property>
</Properties>
</file>